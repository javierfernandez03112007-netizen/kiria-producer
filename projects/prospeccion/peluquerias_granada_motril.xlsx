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ado" sheetId="1" state="visible" r:id="rId3"/>
    <sheet name="Resumen" sheetId="2" state="visible" r:id="rId4"/>
  </sheets>
  <definedNames>
    <definedName function="false" hidden="true" localSheetId="0" name="_xlnm._FilterDatabase" vbProcedure="false">Listado!$A$3:$L$36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3" authorId="0">
      <text>
        <r>
          <rPr>
            <sz val="10"/>
            <rFont val="Arial"/>
            <family val="2"/>
          </rPr>
          <t xml:space="preserve">Situación según búsquedas en directorios (oct. 2026). Puedes cambiarla con el desplegable si al visitar ves otra cosa.</t>
        </r>
      </text>
    </comment>
  </commentList>
</comments>
</file>

<file path=xl/sharedStrings.xml><?xml version="1.0" encoding="utf-8"?>
<sst xmlns="http://schemas.openxmlformats.org/spreadsheetml/2006/main" count="283" uniqueCount="149">
  <si>
    <t xml:space="preserve">Peluquerías de Granada y Motril sin web</t>
  </si>
  <si>
    <t xml:space="preserve">Edita solo las columnas amarillas: «¿Quiere web?» (desplegable Sí / No / Pendiente), fecha y comentarios. «Por comprobar» = no se ha podido verificar si tiene web: míralo en Google Maps antes de ir.</t>
  </si>
  <si>
    <t xml:space="preserve">Nº</t>
  </si>
  <si>
    <t xml:space="preserve">Negocio</t>
  </si>
  <si>
    <t xml:space="preserve">Ciudad</t>
  </si>
  <si>
    <t xml:space="preserve">Dirección</t>
  </si>
  <si>
    <t xml:space="preserve">Teléfono</t>
  </si>
  <si>
    <t xml:space="preserve">Situación web</t>
  </si>
  <si>
    <t xml:space="preserve">Dónde aparece</t>
  </si>
  <si>
    <t xml:space="preserve">Valoración</t>
  </si>
  <si>
    <t xml:space="preserve">Notas</t>
  </si>
  <si>
    <t xml:space="preserve">¿Quiere web?</t>
  </si>
  <si>
    <t xml:space="preserve">Fecha visita</t>
  </si>
  <si>
    <t xml:space="preserve">Comentarios de la visita</t>
  </si>
  <si>
    <t xml:space="preserve">Beauty Salón Merche</t>
  </si>
  <si>
    <t xml:space="preserve">Motril</t>
  </si>
  <si>
    <t xml:space="preserve">C. Azucarera Ntra. Sra. de Lourdes</t>
  </si>
  <si>
    <t xml:space="preserve">635 99 35 49</t>
  </si>
  <si>
    <t xml:space="preserve">Web ya preparada</t>
  </si>
  <si>
    <t xml:space="preserve">Google, bodas.net</t>
  </si>
  <si>
    <t xml:space="preserve">4,7 Google (26)</t>
  </si>
  <si>
    <t xml:space="preserve">Propuesta de web ya hecha (web_merche)</t>
  </si>
  <si>
    <t xml:space="preserve">Pendiente</t>
  </si>
  <si>
    <t xml:space="preserve">Blau Peluqueros</t>
  </si>
  <si>
    <t xml:space="preserve">C. Marqués de Vistabella, 19</t>
  </si>
  <si>
    <t xml:space="preserve">958 82 58 46</t>
  </si>
  <si>
    <t xml:space="preserve">Sin web encontrada</t>
  </si>
  <si>
    <t xml:space="preserve">zokko.es, solicitalo.net</t>
  </si>
  <si>
    <t xml:space="preserve">Centro de Belleza Dori</t>
  </si>
  <si>
    <t xml:space="preserve">C. Carreras, 15</t>
  </si>
  <si>
    <t xml:space="preserve">paginasamarillas.es, cylex.es</t>
  </si>
  <si>
    <t xml:space="preserve">Tiene tienda en eBay, no web</t>
  </si>
  <si>
    <t xml:space="preserve">Franja Peluqueros</t>
  </si>
  <si>
    <t xml:space="preserve">C. Cervantes, 3</t>
  </si>
  <si>
    <t xml:space="preserve">958 60 85 98</t>
  </si>
  <si>
    <t xml:space="preserve">solicitalo.net</t>
  </si>
  <si>
    <t xml:space="preserve">Geisha Peluquería</t>
  </si>
  <si>
    <t xml:space="preserve">Av. Rodríguez Acosta, 3</t>
  </si>
  <si>
    <t xml:space="preserve">958 60 08 36</t>
  </si>
  <si>
    <t xml:space="preserve">Isabel Martín Peluquería</t>
  </si>
  <si>
    <t xml:space="preserve">C. Nicaragua, 2</t>
  </si>
  <si>
    <t xml:space="preserve">958 82 19 20</t>
  </si>
  <si>
    <t xml:space="preserve">infopeluquerias.com.es</t>
  </si>
  <si>
    <t xml:space="preserve">New Colors</t>
  </si>
  <si>
    <t xml:space="preserve">C. Princesa, 10</t>
  </si>
  <si>
    <t xml:space="preserve">958 60 31 68</t>
  </si>
  <si>
    <t xml:space="preserve">Peluquería Adara C.B.</t>
  </si>
  <si>
    <t xml:space="preserve">C. Río Guadiana, 27</t>
  </si>
  <si>
    <t xml:space="preserve">958 82 29 86</t>
  </si>
  <si>
    <t xml:space="preserve">paginasamarillas.es</t>
  </si>
  <si>
    <t xml:space="preserve">Peluquería Gaviria</t>
  </si>
  <si>
    <t xml:space="preserve">958 60 10 44</t>
  </si>
  <si>
    <t xml:space="preserve">listadonegocios.com</t>
  </si>
  <si>
    <t xml:space="preserve">Falta dirección</t>
  </si>
  <si>
    <t xml:space="preserve">Salón Mari Carmen</t>
  </si>
  <si>
    <t xml:space="preserve">Calle Ancha, 36</t>
  </si>
  <si>
    <t xml:space="preserve">Falta teléfono</t>
  </si>
  <si>
    <t xml:space="preserve">Mitos Peluqueros</t>
  </si>
  <si>
    <t xml:space="preserve">Granada</t>
  </si>
  <si>
    <t xml:space="preserve">Av. de Barcelona, 15 (Zaidín)</t>
  </si>
  <si>
    <t xml:space="preserve">958 08 23 68</t>
  </si>
  <si>
    <t xml:space="preserve">fresha.com</t>
  </si>
  <si>
    <t xml:space="preserve">Peluquería Rodríguez</t>
  </si>
  <si>
    <t xml:space="preserve">Av. de América, 45 (Zaidín)</t>
  </si>
  <si>
    <t xml:space="preserve">958 12 08 63</t>
  </si>
  <si>
    <t xml:space="preserve">Bellezza10</t>
  </si>
  <si>
    <t xml:space="preserve">C. de las Cañas, 24</t>
  </si>
  <si>
    <t xml:space="preserve">664 74 40 49</t>
  </si>
  <si>
    <t xml:space="preserve">Solo perfil en plataforma</t>
  </si>
  <si>
    <t xml:space="preserve">bodas.net</t>
  </si>
  <si>
    <t xml:space="preserve">4,9 bodas.net</t>
  </si>
  <si>
    <t xml:space="preserve">Novias; premio Tijera de Oro 2017</t>
  </si>
  <si>
    <t xml:space="preserve">DobleV Estilistas</t>
  </si>
  <si>
    <t xml:space="preserve">C. Domine, 1</t>
  </si>
  <si>
    <t xml:space="preserve">treatwell.es</t>
  </si>
  <si>
    <t xml:space="preserve">4,9 Treatwell (518)</t>
  </si>
  <si>
    <t xml:space="preserve">Solo reservas por Treatwell; muchas reseñas: buen candidato</t>
  </si>
  <si>
    <t xml:space="preserve">An Glamour Studio</t>
  </si>
  <si>
    <t xml:space="preserve">Av. de América, 52</t>
  </si>
  <si>
    <t xml:space="preserve">4,9 Treatwell</t>
  </si>
  <si>
    <t xml:space="preserve">Solo reservas por Treatwell</t>
  </si>
  <si>
    <t xml:space="preserve">Dora Castillo Peluquería</t>
  </si>
  <si>
    <t xml:space="preserve">C. Marqués de Falces, 4B (Centro)</t>
  </si>
  <si>
    <t xml:space="preserve">5,0 Treatwell (47)</t>
  </si>
  <si>
    <t xml:space="preserve">Lara Peluqueros</t>
  </si>
  <si>
    <t xml:space="preserve">C. Andrés Segovia, 36</t>
  </si>
  <si>
    <t xml:space="preserve">4,5 Treatwell (66)</t>
  </si>
  <si>
    <t xml:space="preserve">Manzano Nieves Peluquería Unisex</t>
  </si>
  <si>
    <t xml:space="preserve">Av. de Italia, 14 (Zaidín)</t>
  </si>
  <si>
    <t xml:space="preserve">858 12 53 52</t>
  </si>
  <si>
    <t xml:space="preserve">Peluquería Palencia</t>
  </si>
  <si>
    <t xml:space="preserve">C. Palencia, 1 (Zaidín)</t>
  </si>
  <si>
    <t xml:space="preserve">958 05 83 89</t>
  </si>
  <si>
    <t xml:space="preserve">Salon Gloss</t>
  </si>
  <si>
    <t xml:space="preserve">Av. de América, 56</t>
  </si>
  <si>
    <t xml:space="preserve">5,0 Fresha (+100)</t>
  </si>
  <si>
    <t xml:space="preserve">Solo reservas por Fresha</t>
  </si>
  <si>
    <t xml:space="preserve">Crown Barber</t>
  </si>
  <si>
    <t xml:space="preserve">Av. de Dílar, 62 (Zaidín)</t>
  </si>
  <si>
    <t xml:space="preserve">612 28 86 55</t>
  </si>
  <si>
    <t xml:space="preserve">Tiene web – revisar si es antigua</t>
  </si>
  <si>
    <t xml:space="preserve">peluqueriazaidin.es</t>
  </si>
  <si>
    <t xml:space="preserve">Su web da dos teléfonos distintos (…655 y …665)</t>
  </si>
  <si>
    <t xml:space="preserve">Antonio Lupión Barbería</t>
  </si>
  <si>
    <t xml:space="preserve">C. de las Cañas, 1</t>
  </si>
  <si>
    <t xml:space="preserve">635 69 58 30</t>
  </si>
  <si>
    <t xml:space="preserve">Por comprobar</t>
  </si>
  <si>
    <t xml:space="preserve">Barbería</t>
  </si>
  <si>
    <t xml:space="preserve">D'Medina</t>
  </si>
  <si>
    <t xml:space="preserve">C. Manuel de Falla, 9</t>
  </si>
  <si>
    <t xml:space="preserve">958 82 13 62</t>
  </si>
  <si>
    <t xml:space="preserve">Peluquería de caballero</t>
  </si>
  <si>
    <t xml:space="preserve">La Barbería de Motril</t>
  </si>
  <si>
    <t xml:space="preserve">Prolongación Capuchinos, s/n</t>
  </si>
  <si>
    <t xml:space="preserve">625 87 21 97</t>
  </si>
  <si>
    <t xml:space="preserve">María Teresa Alamino Rodríguez</t>
  </si>
  <si>
    <t xml:space="preserve">C. Wenceslao Fernández Flórez, 58</t>
  </si>
  <si>
    <t xml:space="preserve">958 60 76 04</t>
  </si>
  <si>
    <t xml:space="preserve">Mostacho Barber Shop</t>
  </si>
  <si>
    <t xml:space="preserve">Av. Rodríguez Acosta, 13</t>
  </si>
  <si>
    <t xml:space="preserve">Peluquería Lola Hernández</t>
  </si>
  <si>
    <t xml:space="preserve">958 82 25 86</t>
  </si>
  <si>
    <t xml:space="preserve">Salón Aysa</t>
  </si>
  <si>
    <t xml:space="preserve">C. Río Tajo, 9</t>
  </si>
  <si>
    <t xml:space="preserve">cylex.es</t>
  </si>
  <si>
    <t xml:space="preserve">Salón de Peluquería Gálvez</t>
  </si>
  <si>
    <t xml:space="preserve">958 60 73 62</t>
  </si>
  <si>
    <t xml:space="preserve">Crazy Blonde</t>
  </si>
  <si>
    <t xml:space="preserve">Av. de la Constitución, 22</t>
  </si>
  <si>
    <t xml:space="preserve">Culture Salon Emperatriz Eugenia</t>
  </si>
  <si>
    <t xml:space="preserve">C. Emperatriz Eugenia, 17</t>
  </si>
  <si>
    <t xml:space="preserve">Estética &amp; Peluquería Blanca Rodríguez</t>
  </si>
  <si>
    <t xml:space="preserve">C. Padre Francisco Palau y Quer, 21 (Zaidín)</t>
  </si>
  <si>
    <t xml:space="preserve">Mercedes Hurtado Montoya</t>
  </si>
  <si>
    <t xml:space="preserve">C. Primavera, 18 (Zaidín)</t>
  </si>
  <si>
    <t xml:space="preserve">Peluquerías de Granada y Motril sin web · Resumen</t>
  </si>
  <si>
    <t xml:space="preserve">Total</t>
  </si>
  <si>
    <t xml:space="preserve">Negocios</t>
  </si>
  <si>
    <t xml:space="preserve">% del total</t>
  </si>
  <si>
    <t xml:space="preserve">Sí</t>
  </si>
  <si>
    <t xml:space="preserve">No</t>
  </si>
  <si>
    <t xml:space="preserve">Visitados (con fecha)</t>
  </si>
  <si>
    <t xml:space="preserve">Leyenda</t>
  </si>
  <si>
    <t xml:space="preserve">Solo aparece en directorios (Páginas Amarillas, Cylex…): no tiene web propia.</t>
  </si>
  <si>
    <t xml:space="preserve">Solo tiene ficha en Treatwell, Fresha o bodas.net: no tiene web propia.</t>
  </si>
  <si>
    <t xml:space="preserve">Tiene web propia: ábrela y mira si es antigua (diseño viejo, no se ve bien en móvil, sin https).</t>
  </si>
  <si>
    <t xml:space="preserve">No se pudo verificar desde los directorios: mirar en Google Maps si tiene web.</t>
  </si>
  <si>
    <t xml:space="preserve">Ya tienes la propuesta de web preparada para enseñársela.</t>
  </si>
  <si>
    <t xml:space="preserve">Fuentes: directorios públicos consultados en octubre de 2026 (paginasamarillas.es, cylex.es, treatwell.es, fresha.com, gastroranking.es, mejorestapas.com y otros indicados en cada fila). Teléfonos y direcciones pueden haber cambiado.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</si>
</sst>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General"/>
    <numFmt numFmtId="167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4D3A"/>
      <name val="Arial"/>
      <family val="0"/>
      <charset val="1"/>
    </font>
    <font>
      <i val="true"/>
      <sz val="9"/>
      <color rgb="FF6F6A5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  <font>
      <b val="true"/>
      <sz val="14"/>
      <color rgb="FF1F4D3A"/>
      <name val="Arial"/>
      <family val="0"/>
      <charset val="1"/>
    </font>
    <font>
      <b val="true"/>
      <sz val="11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D3A"/>
        <bgColor rgb="FF333300"/>
      </patternFill>
    </fill>
    <fill>
      <patternFill patternType="solid">
        <fgColor rgb="FFD4EDDA"/>
        <bgColor rgb="FFC6EFCE"/>
      </patternFill>
    </fill>
    <fill>
      <patternFill patternType="solid">
        <fgColor rgb="FFFFF6D6"/>
        <bgColor rgb="FFFCE8C7"/>
      </patternFill>
    </fill>
    <fill>
      <patternFill patternType="solid">
        <fgColor rgb="FFF8D7D3"/>
        <bgColor rgb="FFFFC7CE"/>
      </patternFill>
    </fill>
    <fill>
      <patternFill patternType="solid">
        <fgColor rgb="FFFCE8C7"/>
        <bgColor rgb="FFFFF6D6"/>
      </patternFill>
    </fill>
    <fill>
      <patternFill patternType="solid">
        <fgColor rgb="FFDCE9F7"/>
        <bgColor rgb="FFEDEDED"/>
      </patternFill>
    </fill>
    <fill>
      <patternFill patternType="solid">
        <fgColor rgb="FFEDEDED"/>
        <bgColor rgb="FFDCE9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4D3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4EDDA"/>
          <bgColor rgb="FF000000"/>
        </patternFill>
      </fill>
    </dxf>
    <dxf>
      <fill>
        <patternFill patternType="solid">
          <fgColor rgb="FFDCE9F7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8D7D3"/>
          <bgColor rgb="FF000000"/>
        </patternFill>
      </fill>
    </dxf>
    <dxf>
      <fill>
        <patternFill patternType="solid">
          <fgColor rgb="FFFCE8C7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F6D6"/>
          <bgColor rgb="FF000000"/>
        </patternFill>
      </fill>
    </dxf>
    <dxf>
      <font>
        <name val="Arial"/>
        <charset val="1"/>
        <family val="0"/>
        <b val="1"/>
      </font>
      <fill>
        <patternFill>
          <bgColor rgb="FFC6EFCE"/>
        </patternFill>
      </fill>
    </dxf>
    <dxf>
      <font>
        <name val="Arial"/>
        <charset val="1"/>
        <family val="0"/>
        <b val="1"/>
      </font>
      <fill>
        <patternFill>
          <bgColor rgb="FFFFC7CE"/>
        </patternFill>
      </fill>
    </dxf>
    <dxf>
      <font>
        <name val="Arial"/>
        <charset val="1"/>
        <family val="0"/>
        <b val="1"/>
      </font>
      <fill>
        <patternFill>
          <bgColor rgb="FFFFEB9C"/>
        </patternFill>
      </fill>
    </dxf>
    <dxf>
      <font>
        <name val="Arial"/>
        <charset val="1"/>
        <family val="0"/>
        <color rgb="FFA6A6A6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8D7D3"/>
      <rgbColor rgb="FF808080"/>
      <rgbColor rgb="FF9999FF"/>
      <rgbColor rgb="FF993366"/>
      <rgbColor rgb="FFFFF6D6"/>
      <rgbColor rgb="FFD4EDD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9F7"/>
      <rgbColor rgb="FFC6EFCE"/>
      <rgbColor rgb="FFFFEB9C"/>
      <rgbColor rgb="FFEDEDED"/>
      <rgbColor rgb="FFFCE8C7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F6A5C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1F4D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38"/>
    <col collapsed="false" customWidth="true" hidden="false" outlineLevel="0" max="5" min="5" style="0" width="15"/>
    <col collapsed="false" customWidth="true" hidden="false" outlineLevel="0" max="6" min="6" style="0" width="32"/>
    <col collapsed="false" customWidth="true" hidden="false" outlineLevel="0" max="7" min="7" style="0" width="28"/>
    <col collapsed="false" customWidth="true" hidden="false" outlineLevel="0" max="8" min="8" style="0" width="22"/>
    <col collapsed="false" customWidth="true" hidden="false" outlineLevel="0" max="9" min="9" style="0" width="44"/>
    <col collapsed="false" customWidth="true" hidden="false" outlineLevel="0" max="10" min="10" style="0" width="15"/>
    <col collapsed="false" customWidth="true" hidden="false" outlineLevel="0" max="11" min="11" style="0" width="13"/>
    <col collapsed="false" customWidth="true" hidden="false" outlineLevel="0" max="12" min="12" style="0" width="44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27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customFormat="false" ht="15" hidden="false" customHeight="false" outlineLevel="0" collapsed="false">
      <c r="A4" s="4" t="n">
        <v>1</v>
      </c>
      <c r="B4" s="5" t="s">
        <v>14</v>
      </c>
      <c r="C4" s="4" t="s">
        <v>15</v>
      </c>
      <c r="D4" s="6" t="s">
        <v>16</v>
      </c>
      <c r="E4" s="4" t="s">
        <v>17</v>
      </c>
      <c r="F4" s="7" t="s">
        <v>18</v>
      </c>
      <c r="G4" s="6" t="s">
        <v>19</v>
      </c>
      <c r="H4" s="4" t="s">
        <v>20</v>
      </c>
      <c r="I4" s="6" t="s">
        <v>21</v>
      </c>
      <c r="J4" s="8" t="s">
        <v>22</v>
      </c>
      <c r="K4" s="9"/>
      <c r="L4" s="10"/>
    </row>
    <row r="5" customFormat="false" ht="15" hidden="false" customHeight="false" outlineLevel="0" collapsed="false">
      <c r="A5" s="4" t="n">
        <v>2</v>
      </c>
      <c r="B5" s="5" t="s">
        <v>23</v>
      </c>
      <c r="C5" s="4" t="s">
        <v>15</v>
      </c>
      <c r="D5" s="6" t="s">
        <v>24</v>
      </c>
      <c r="E5" s="4" t="s">
        <v>25</v>
      </c>
      <c r="F5" s="11" t="s">
        <v>26</v>
      </c>
      <c r="G5" s="6" t="s">
        <v>27</v>
      </c>
      <c r="H5" s="4"/>
      <c r="I5" s="6"/>
      <c r="J5" s="8" t="s">
        <v>22</v>
      </c>
      <c r="K5" s="9"/>
      <c r="L5" s="10"/>
    </row>
    <row r="6" customFormat="false" ht="15" hidden="false" customHeight="false" outlineLevel="0" collapsed="false">
      <c r="A6" s="4" t="n">
        <v>3</v>
      </c>
      <c r="B6" s="5" t="s">
        <v>28</v>
      </c>
      <c r="C6" s="4" t="s">
        <v>15</v>
      </c>
      <c r="D6" s="6" t="s">
        <v>29</v>
      </c>
      <c r="E6" s="4"/>
      <c r="F6" s="11" t="s">
        <v>26</v>
      </c>
      <c r="G6" s="6" t="s">
        <v>30</v>
      </c>
      <c r="H6" s="4"/>
      <c r="I6" s="6" t="s">
        <v>31</v>
      </c>
      <c r="J6" s="8" t="s">
        <v>22</v>
      </c>
      <c r="K6" s="9"/>
      <c r="L6" s="10"/>
    </row>
    <row r="7" customFormat="false" ht="15" hidden="false" customHeight="false" outlineLevel="0" collapsed="false">
      <c r="A7" s="4" t="n">
        <v>4</v>
      </c>
      <c r="B7" s="5" t="s">
        <v>32</v>
      </c>
      <c r="C7" s="4" t="s">
        <v>15</v>
      </c>
      <c r="D7" s="6" t="s">
        <v>33</v>
      </c>
      <c r="E7" s="4" t="s">
        <v>34</v>
      </c>
      <c r="F7" s="11" t="s">
        <v>26</v>
      </c>
      <c r="G7" s="6" t="s">
        <v>35</v>
      </c>
      <c r="H7" s="4"/>
      <c r="I7" s="6"/>
      <c r="J7" s="8" t="s">
        <v>22</v>
      </c>
      <c r="K7" s="9"/>
      <c r="L7" s="10"/>
    </row>
    <row r="8" customFormat="false" ht="15" hidden="false" customHeight="false" outlineLevel="0" collapsed="false">
      <c r="A8" s="4" t="n">
        <v>5</v>
      </c>
      <c r="B8" s="5" t="s">
        <v>36</v>
      </c>
      <c r="C8" s="4" t="s">
        <v>15</v>
      </c>
      <c r="D8" s="6" t="s">
        <v>37</v>
      </c>
      <c r="E8" s="4" t="s">
        <v>38</v>
      </c>
      <c r="F8" s="11" t="s">
        <v>26</v>
      </c>
      <c r="G8" s="6" t="s">
        <v>27</v>
      </c>
      <c r="H8" s="4"/>
      <c r="I8" s="6"/>
      <c r="J8" s="8" t="s">
        <v>22</v>
      </c>
      <c r="K8" s="9"/>
      <c r="L8" s="10"/>
    </row>
    <row r="9" customFormat="false" ht="15" hidden="false" customHeight="false" outlineLevel="0" collapsed="false">
      <c r="A9" s="4" t="n">
        <v>6</v>
      </c>
      <c r="B9" s="5" t="s">
        <v>39</v>
      </c>
      <c r="C9" s="4" t="s">
        <v>15</v>
      </c>
      <c r="D9" s="6" t="s">
        <v>40</v>
      </c>
      <c r="E9" s="4" t="s">
        <v>41</v>
      </c>
      <c r="F9" s="11" t="s">
        <v>26</v>
      </c>
      <c r="G9" s="6" t="s">
        <v>42</v>
      </c>
      <c r="H9" s="4"/>
      <c r="I9" s="6"/>
      <c r="J9" s="8" t="s">
        <v>22</v>
      </c>
      <c r="K9" s="9"/>
      <c r="L9" s="10"/>
    </row>
    <row r="10" customFormat="false" ht="15" hidden="false" customHeight="false" outlineLevel="0" collapsed="false">
      <c r="A10" s="4" t="n">
        <v>7</v>
      </c>
      <c r="B10" s="5" t="s">
        <v>43</v>
      </c>
      <c r="C10" s="4" t="s">
        <v>15</v>
      </c>
      <c r="D10" s="6" t="s">
        <v>44</v>
      </c>
      <c r="E10" s="4" t="s">
        <v>45</v>
      </c>
      <c r="F10" s="11" t="s">
        <v>26</v>
      </c>
      <c r="G10" s="6" t="s">
        <v>42</v>
      </c>
      <c r="H10" s="4"/>
      <c r="I10" s="6"/>
      <c r="J10" s="8" t="s">
        <v>22</v>
      </c>
      <c r="K10" s="9"/>
      <c r="L10" s="10"/>
    </row>
    <row r="11" customFormat="false" ht="15" hidden="false" customHeight="false" outlineLevel="0" collapsed="false">
      <c r="A11" s="4" t="n">
        <v>8</v>
      </c>
      <c r="B11" s="5" t="s">
        <v>46</v>
      </c>
      <c r="C11" s="4" t="s">
        <v>15</v>
      </c>
      <c r="D11" s="6" t="s">
        <v>47</v>
      </c>
      <c r="E11" s="4" t="s">
        <v>48</v>
      </c>
      <c r="F11" s="11" t="s">
        <v>26</v>
      </c>
      <c r="G11" s="6" t="s">
        <v>49</v>
      </c>
      <c r="H11" s="4"/>
      <c r="I11" s="6"/>
      <c r="J11" s="8" t="s">
        <v>22</v>
      </c>
      <c r="K11" s="9"/>
      <c r="L11" s="10"/>
    </row>
    <row r="12" customFormat="false" ht="15" hidden="false" customHeight="false" outlineLevel="0" collapsed="false">
      <c r="A12" s="4" t="n">
        <v>9</v>
      </c>
      <c r="B12" s="5" t="s">
        <v>50</v>
      </c>
      <c r="C12" s="4" t="s">
        <v>15</v>
      </c>
      <c r="D12" s="6"/>
      <c r="E12" s="4" t="s">
        <v>51</v>
      </c>
      <c r="F12" s="11" t="s">
        <v>26</v>
      </c>
      <c r="G12" s="6" t="s">
        <v>52</v>
      </c>
      <c r="H12" s="4"/>
      <c r="I12" s="6" t="s">
        <v>53</v>
      </c>
      <c r="J12" s="8" t="s">
        <v>22</v>
      </c>
      <c r="K12" s="9"/>
      <c r="L12" s="10"/>
    </row>
    <row r="13" customFormat="false" ht="15" hidden="false" customHeight="false" outlineLevel="0" collapsed="false">
      <c r="A13" s="4" t="n">
        <v>10</v>
      </c>
      <c r="B13" s="5" t="s">
        <v>54</v>
      </c>
      <c r="C13" s="4" t="s">
        <v>15</v>
      </c>
      <c r="D13" s="6" t="s">
        <v>55</v>
      </c>
      <c r="E13" s="4"/>
      <c r="F13" s="11" t="s">
        <v>26</v>
      </c>
      <c r="G13" s="6" t="s">
        <v>49</v>
      </c>
      <c r="H13" s="4"/>
      <c r="I13" s="6" t="s">
        <v>56</v>
      </c>
      <c r="J13" s="8" t="s">
        <v>22</v>
      </c>
      <c r="K13" s="9"/>
      <c r="L13" s="10"/>
    </row>
    <row r="14" customFormat="false" ht="15" hidden="false" customHeight="false" outlineLevel="0" collapsed="false">
      <c r="A14" s="4" t="n">
        <v>11</v>
      </c>
      <c r="B14" s="5" t="s">
        <v>57</v>
      </c>
      <c r="C14" s="4" t="s">
        <v>58</v>
      </c>
      <c r="D14" s="6" t="s">
        <v>59</v>
      </c>
      <c r="E14" s="4" t="s">
        <v>60</v>
      </c>
      <c r="F14" s="11" t="s">
        <v>26</v>
      </c>
      <c r="G14" s="6" t="s">
        <v>61</v>
      </c>
      <c r="H14" s="4"/>
      <c r="I14" s="6"/>
      <c r="J14" s="8" t="s">
        <v>22</v>
      </c>
      <c r="K14" s="9"/>
      <c r="L14" s="10"/>
    </row>
    <row r="15" customFormat="false" ht="15" hidden="false" customHeight="false" outlineLevel="0" collapsed="false">
      <c r="A15" s="4" t="n">
        <v>12</v>
      </c>
      <c r="B15" s="5" t="s">
        <v>62</v>
      </c>
      <c r="C15" s="4" t="s">
        <v>58</v>
      </c>
      <c r="D15" s="6" t="s">
        <v>63</v>
      </c>
      <c r="E15" s="4" t="s">
        <v>64</v>
      </c>
      <c r="F15" s="11" t="s">
        <v>26</v>
      </c>
      <c r="G15" s="6" t="s">
        <v>61</v>
      </c>
      <c r="H15" s="4"/>
      <c r="I15" s="6"/>
      <c r="J15" s="8" t="s">
        <v>22</v>
      </c>
      <c r="K15" s="9"/>
      <c r="L15" s="10"/>
    </row>
    <row r="16" customFormat="false" ht="15" hidden="false" customHeight="false" outlineLevel="0" collapsed="false">
      <c r="A16" s="4" t="n">
        <v>13</v>
      </c>
      <c r="B16" s="5" t="s">
        <v>65</v>
      </c>
      <c r="C16" s="4" t="s">
        <v>15</v>
      </c>
      <c r="D16" s="6" t="s">
        <v>66</v>
      </c>
      <c r="E16" s="4" t="s">
        <v>67</v>
      </c>
      <c r="F16" s="12" t="s">
        <v>68</v>
      </c>
      <c r="G16" s="6" t="s">
        <v>69</v>
      </c>
      <c r="H16" s="4" t="s">
        <v>70</v>
      </c>
      <c r="I16" s="6" t="s">
        <v>71</v>
      </c>
      <c r="J16" s="8" t="s">
        <v>22</v>
      </c>
      <c r="K16" s="9"/>
      <c r="L16" s="10"/>
    </row>
    <row r="17" customFormat="false" ht="23.85" hidden="false" customHeight="false" outlineLevel="0" collapsed="false">
      <c r="A17" s="4" t="n">
        <v>14</v>
      </c>
      <c r="B17" s="5" t="s">
        <v>72</v>
      </c>
      <c r="C17" s="4" t="s">
        <v>15</v>
      </c>
      <c r="D17" s="6" t="s">
        <v>73</v>
      </c>
      <c r="E17" s="4"/>
      <c r="F17" s="12" t="s">
        <v>68</v>
      </c>
      <c r="G17" s="6" t="s">
        <v>74</v>
      </c>
      <c r="H17" s="4" t="s">
        <v>75</v>
      </c>
      <c r="I17" s="6" t="s">
        <v>76</v>
      </c>
      <c r="J17" s="8" t="s">
        <v>22</v>
      </c>
      <c r="K17" s="9"/>
      <c r="L17" s="10"/>
    </row>
    <row r="18" customFormat="false" ht="15" hidden="false" customHeight="false" outlineLevel="0" collapsed="false">
      <c r="A18" s="4" t="n">
        <v>15</v>
      </c>
      <c r="B18" s="5" t="s">
        <v>77</v>
      </c>
      <c r="C18" s="4" t="s">
        <v>58</v>
      </c>
      <c r="D18" s="6" t="s">
        <v>78</v>
      </c>
      <c r="E18" s="4"/>
      <c r="F18" s="12" t="s">
        <v>68</v>
      </c>
      <c r="G18" s="6" t="s">
        <v>74</v>
      </c>
      <c r="H18" s="4" t="s">
        <v>79</v>
      </c>
      <c r="I18" s="6" t="s">
        <v>80</v>
      </c>
      <c r="J18" s="8" t="s">
        <v>22</v>
      </c>
      <c r="K18" s="9"/>
      <c r="L18" s="10"/>
    </row>
    <row r="19" customFormat="false" ht="15" hidden="false" customHeight="false" outlineLevel="0" collapsed="false">
      <c r="A19" s="4" t="n">
        <v>16</v>
      </c>
      <c r="B19" s="5" t="s">
        <v>81</v>
      </c>
      <c r="C19" s="4" t="s">
        <v>58</v>
      </c>
      <c r="D19" s="6" t="s">
        <v>82</v>
      </c>
      <c r="E19" s="4"/>
      <c r="F19" s="12" t="s">
        <v>68</v>
      </c>
      <c r="G19" s="6" t="s">
        <v>74</v>
      </c>
      <c r="H19" s="4" t="s">
        <v>83</v>
      </c>
      <c r="I19" s="6" t="s">
        <v>80</v>
      </c>
      <c r="J19" s="8" t="s">
        <v>22</v>
      </c>
      <c r="K19" s="9"/>
      <c r="L19" s="10"/>
    </row>
    <row r="20" customFormat="false" ht="15" hidden="false" customHeight="false" outlineLevel="0" collapsed="false">
      <c r="A20" s="4" t="n">
        <v>17</v>
      </c>
      <c r="B20" s="5" t="s">
        <v>84</v>
      </c>
      <c r="C20" s="4" t="s">
        <v>58</v>
      </c>
      <c r="D20" s="6" t="s">
        <v>85</v>
      </c>
      <c r="E20" s="4"/>
      <c r="F20" s="12" t="s">
        <v>68</v>
      </c>
      <c r="G20" s="6" t="s">
        <v>74</v>
      </c>
      <c r="H20" s="4" t="s">
        <v>86</v>
      </c>
      <c r="I20" s="6" t="s">
        <v>80</v>
      </c>
      <c r="J20" s="8" t="s">
        <v>22</v>
      </c>
      <c r="K20" s="9"/>
      <c r="L20" s="10"/>
    </row>
    <row r="21" customFormat="false" ht="15" hidden="false" customHeight="false" outlineLevel="0" collapsed="false">
      <c r="A21" s="4" t="n">
        <v>18</v>
      </c>
      <c r="B21" s="5" t="s">
        <v>87</v>
      </c>
      <c r="C21" s="4" t="s">
        <v>58</v>
      </c>
      <c r="D21" s="6" t="s">
        <v>88</v>
      </c>
      <c r="E21" s="4" t="s">
        <v>89</v>
      </c>
      <c r="F21" s="12" t="s">
        <v>68</v>
      </c>
      <c r="G21" s="6" t="s">
        <v>61</v>
      </c>
      <c r="H21" s="4"/>
      <c r="I21" s="6"/>
      <c r="J21" s="8" t="s">
        <v>22</v>
      </c>
      <c r="K21" s="9"/>
      <c r="L21" s="10"/>
    </row>
    <row r="22" customFormat="false" ht="15" hidden="false" customHeight="false" outlineLevel="0" collapsed="false">
      <c r="A22" s="4" t="n">
        <v>19</v>
      </c>
      <c r="B22" s="5" t="s">
        <v>90</v>
      </c>
      <c r="C22" s="4" t="s">
        <v>58</v>
      </c>
      <c r="D22" s="6" t="s">
        <v>91</v>
      </c>
      <c r="E22" s="4" t="s">
        <v>92</v>
      </c>
      <c r="F22" s="12" t="s">
        <v>68</v>
      </c>
      <c r="G22" s="6" t="s">
        <v>61</v>
      </c>
      <c r="H22" s="4"/>
      <c r="I22" s="6"/>
      <c r="J22" s="8" t="s">
        <v>22</v>
      </c>
      <c r="K22" s="9"/>
      <c r="L22" s="10"/>
    </row>
    <row r="23" customFormat="false" ht="15" hidden="false" customHeight="false" outlineLevel="0" collapsed="false">
      <c r="A23" s="4" t="n">
        <v>20</v>
      </c>
      <c r="B23" s="5" t="s">
        <v>93</v>
      </c>
      <c r="C23" s="4" t="s">
        <v>58</v>
      </c>
      <c r="D23" s="6" t="s">
        <v>94</v>
      </c>
      <c r="E23" s="4"/>
      <c r="F23" s="12" t="s">
        <v>68</v>
      </c>
      <c r="G23" s="6" t="s">
        <v>61</v>
      </c>
      <c r="H23" s="4" t="s">
        <v>95</v>
      </c>
      <c r="I23" s="6" t="s">
        <v>96</v>
      </c>
      <c r="J23" s="8" t="s">
        <v>22</v>
      </c>
      <c r="K23" s="9"/>
      <c r="L23" s="10"/>
    </row>
    <row r="24" customFormat="false" ht="15" hidden="false" customHeight="false" outlineLevel="0" collapsed="false">
      <c r="A24" s="4" t="n">
        <v>21</v>
      </c>
      <c r="B24" s="5" t="s">
        <v>97</v>
      </c>
      <c r="C24" s="4" t="s">
        <v>58</v>
      </c>
      <c r="D24" s="6" t="s">
        <v>98</v>
      </c>
      <c r="E24" s="4" t="s">
        <v>99</v>
      </c>
      <c r="F24" s="13" t="s">
        <v>100</v>
      </c>
      <c r="G24" s="6" t="s">
        <v>101</v>
      </c>
      <c r="H24" s="4"/>
      <c r="I24" s="6" t="s">
        <v>102</v>
      </c>
      <c r="J24" s="8" t="s">
        <v>22</v>
      </c>
      <c r="K24" s="9"/>
      <c r="L24" s="10"/>
    </row>
    <row r="25" customFormat="false" ht="15" hidden="false" customHeight="false" outlineLevel="0" collapsed="false">
      <c r="A25" s="4" t="n">
        <v>22</v>
      </c>
      <c r="B25" s="5" t="s">
        <v>103</v>
      </c>
      <c r="C25" s="4" t="s">
        <v>15</v>
      </c>
      <c r="D25" s="6" t="s">
        <v>104</v>
      </c>
      <c r="E25" s="4" t="s">
        <v>105</v>
      </c>
      <c r="F25" s="14" t="s">
        <v>106</v>
      </c>
      <c r="G25" s="6" t="s">
        <v>35</v>
      </c>
      <c r="H25" s="4"/>
      <c r="I25" s="6" t="s">
        <v>107</v>
      </c>
      <c r="J25" s="8" t="s">
        <v>22</v>
      </c>
      <c r="K25" s="9"/>
      <c r="L25" s="10"/>
    </row>
    <row r="26" customFormat="false" ht="15" hidden="false" customHeight="false" outlineLevel="0" collapsed="false">
      <c r="A26" s="4" t="n">
        <v>23</v>
      </c>
      <c r="B26" s="5" t="s">
        <v>108</v>
      </c>
      <c r="C26" s="4" t="s">
        <v>15</v>
      </c>
      <c r="D26" s="6" t="s">
        <v>109</v>
      </c>
      <c r="E26" s="4" t="s">
        <v>110</v>
      </c>
      <c r="F26" s="14" t="s">
        <v>106</v>
      </c>
      <c r="G26" s="6" t="s">
        <v>49</v>
      </c>
      <c r="H26" s="4"/>
      <c r="I26" s="6" t="s">
        <v>111</v>
      </c>
      <c r="J26" s="8" t="s">
        <v>22</v>
      </c>
      <c r="K26" s="9"/>
      <c r="L26" s="10"/>
    </row>
    <row r="27" customFormat="false" ht="15" hidden="false" customHeight="false" outlineLevel="0" collapsed="false">
      <c r="A27" s="4" t="n">
        <v>24</v>
      </c>
      <c r="B27" s="5" t="s">
        <v>112</v>
      </c>
      <c r="C27" s="4" t="s">
        <v>15</v>
      </c>
      <c r="D27" s="6" t="s">
        <v>113</v>
      </c>
      <c r="E27" s="4" t="s">
        <v>114</v>
      </c>
      <c r="F27" s="14" t="s">
        <v>106</v>
      </c>
      <c r="G27" s="6" t="s">
        <v>49</v>
      </c>
      <c r="H27" s="4"/>
      <c r="I27" s="6" t="s">
        <v>107</v>
      </c>
      <c r="J27" s="8" t="s">
        <v>22</v>
      </c>
      <c r="K27" s="9"/>
      <c r="L27" s="10"/>
    </row>
    <row r="28" customFormat="false" ht="15" hidden="false" customHeight="false" outlineLevel="0" collapsed="false">
      <c r="A28" s="4" t="n">
        <v>25</v>
      </c>
      <c r="B28" s="5" t="s">
        <v>115</v>
      </c>
      <c r="C28" s="4" t="s">
        <v>15</v>
      </c>
      <c r="D28" s="6" t="s">
        <v>116</v>
      </c>
      <c r="E28" s="4" t="s">
        <v>117</v>
      </c>
      <c r="F28" s="14" t="s">
        <v>106</v>
      </c>
      <c r="G28" s="6" t="s">
        <v>49</v>
      </c>
      <c r="H28" s="4"/>
      <c r="I28" s="6"/>
      <c r="J28" s="8" t="s">
        <v>22</v>
      </c>
      <c r="K28" s="9"/>
      <c r="L28" s="10"/>
    </row>
    <row r="29" customFormat="false" ht="15" hidden="false" customHeight="false" outlineLevel="0" collapsed="false">
      <c r="A29" s="4" t="n">
        <v>26</v>
      </c>
      <c r="B29" s="5" t="s">
        <v>118</v>
      </c>
      <c r="C29" s="4" t="s">
        <v>15</v>
      </c>
      <c r="D29" s="6" t="s">
        <v>119</v>
      </c>
      <c r="E29" s="4"/>
      <c r="F29" s="14" t="s">
        <v>106</v>
      </c>
      <c r="G29" s="6" t="s">
        <v>49</v>
      </c>
      <c r="H29" s="4"/>
      <c r="I29" s="6" t="s">
        <v>107</v>
      </c>
      <c r="J29" s="8" t="s">
        <v>22</v>
      </c>
      <c r="K29" s="9"/>
      <c r="L29" s="10"/>
    </row>
    <row r="30" customFormat="false" ht="15" hidden="false" customHeight="false" outlineLevel="0" collapsed="false">
      <c r="A30" s="4" t="n">
        <v>27</v>
      </c>
      <c r="B30" s="5" t="s">
        <v>120</v>
      </c>
      <c r="C30" s="4" t="s">
        <v>15</v>
      </c>
      <c r="D30" s="6"/>
      <c r="E30" s="4" t="s">
        <v>121</v>
      </c>
      <c r="F30" s="14" t="s">
        <v>106</v>
      </c>
      <c r="G30" s="6" t="s">
        <v>52</v>
      </c>
      <c r="H30" s="4"/>
      <c r="I30" s="6" t="s">
        <v>53</v>
      </c>
      <c r="J30" s="8" t="s">
        <v>22</v>
      </c>
      <c r="K30" s="9"/>
      <c r="L30" s="10"/>
    </row>
    <row r="31" customFormat="false" ht="15" hidden="false" customHeight="false" outlineLevel="0" collapsed="false">
      <c r="A31" s="4" t="n">
        <v>28</v>
      </c>
      <c r="B31" s="5" t="s">
        <v>122</v>
      </c>
      <c r="C31" s="4" t="s">
        <v>15</v>
      </c>
      <c r="D31" s="6" t="s">
        <v>123</v>
      </c>
      <c r="E31" s="4"/>
      <c r="F31" s="14" t="s">
        <v>106</v>
      </c>
      <c r="G31" s="6" t="s">
        <v>124</v>
      </c>
      <c r="H31" s="4"/>
      <c r="I31" s="6"/>
      <c r="J31" s="8" t="s">
        <v>22</v>
      </c>
      <c r="K31" s="9"/>
      <c r="L31" s="10"/>
    </row>
    <row r="32" customFormat="false" ht="15" hidden="false" customHeight="false" outlineLevel="0" collapsed="false">
      <c r="A32" s="4" t="n">
        <v>29</v>
      </c>
      <c r="B32" s="5" t="s">
        <v>125</v>
      </c>
      <c r="C32" s="4" t="s">
        <v>15</v>
      </c>
      <c r="D32" s="6"/>
      <c r="E32" s="4" t="s">
        <v>126</v>
      </c>
      <c r="F32" s="14" t="s">
        <v>106</v>
      </c>
      <c r="G32" s="6" t="s">
        <v>52</v>
      </c>
      <c r="H32" s="4"/>
      <c r="I32" s="6" t="s">
        <v>53</v>
      </c>
      <c r="J32" s="8" t="s">
        <v>22</v>
      </c>
      <c r="K32" s="9"/>
      <c r="L32" s="10"/>
    </row>
    <row r="33" customFormat="false" ht="15" hidden="false" customHeight="false" outlineLevel="0" collapsed="false">
      <c r="A33" s="4" t="n">
        <v>30</v>
      </c>
      <c r="B33" s="5" t="s">
        <v>127</v>
      </c>
      <c r="C33" s="4" t="s">
        <v>58</v>
      </c>
      <c r="D33" s="6" t="s">
        <v>128</v>
      </c>
      <c r="E33" s="4"/>
      <c r="F33" s="14" t="s">
        <v>106</v>
      </c>
      <c r="G33" s="6" t="s">
        <v>74</v>
      </c>
      <c r="H33" s="4"/>
      <c r="I33" s="6"/>
      <c r="J33" s="8" t="s">
        <v>22</v>
      </c>
      <c r="K33" s="9"/>
      <c r="L33" s="10"/>
    </row>
    <row r="34" customFormat="false" ht="15" hidden="false" customHeight="false" outlineLevel="0" collapsed="false">
      <c r="A34" s="4" t="n">
        <v>31</v>
      </c>
      <c r="B34" s="5" t="s">
        <v>129</v>
      </c>
      <c r="C34" s="4" t="s">
        <v>58</v>
      </c>
      <c r="D34" s="6" t="s">
        <v>130</v>
      </c>
      <c r="E34" s="4"/>
      <c r="F34" s="14" t="s">
        <v>106</v>
      </c>
      <c r="G34" s="6" t="s">
        <v>74</v>
      </c>
      <c r="H34" s="4"/>
      <c r="I34" s="6"/>
      <c r="J34" s="8" t="s">
        <v>22</v>
      </c>
      <c r="K34" s="9"/>
      <c r="L34" s="10"/>
    </row>
    <row r="35" customFormat="false" ht="15" hidden="false" customHeight="false" outlineLevel="0" collapsed="false">
      <c r="A35" s="4" t="n">
        <v>32</v>
      </c>
      <c r="B35" s="5" t="s">
        <v>131</v>
      </c>
      <c r="C35" s="4" t="s">
        <v>58</v>
      </c>
      <c r="D35" s="6" t="s">
        <v>132</v>
      </c>
      <c r="E35" s="4"/>
      <c r="F35" s="14" t="s">
        <v>106</v>
      </c>
      <c r="G35" s="6" t="s">
        <v>61</v>
      </c>
      <c r="H35" s="4"/>
      <c r="I35" s="6"/>
      <c r="J35" s="8" t="s">
        <v>22</v>
      </c>
      <c r="K35" s="9"/>
      <c r="L35" s="10"/>
    </row>
    <row r="36" customFormat="false" ht="15" hidden="false" customHeight="false" outlineLevel="0" collapsed="false">
      <c r="A36" s="4" t="n">
        <v>33</v>
      </c>
      <c r="B36" s="5" t="s">
        <v>133</v>
      </c>
      <c r="C36" s="4" t="s">
        <v>58</v>
      </c>
      <c r="D36" s="6" t="s">
        <v>134</v>
      </c>
      <c r="E36" s="4"/>
      <c r="F36" s="14" t="s">
        <v>106</v>
      </c>
      <c r="G36" s="6" t="s">
        <v>49</v>
      </c>
      <c r="H36" s="4"/>
      <c r="I36" s="6"/>
      <c r="J36" s="8" t="s">
        <v>22</v>
      </c>
      <c r="K36" s="9"/>
      <c r="L36" s="10"/>
    </row>
  </sheetData>
  <autoFilter ref="A3:L36"/>
  <mergeCells count="1">
    <mergeCell ref="A2:L2"/>
  </mergeCells>
  <conditionalFormatting sqref="J4:J36">
    <cfRule type="expression" priority="2" aboveAverage="0" equalAverage="0" bottom="0" percent="0" rank="0" text="" dxfId="10">
      <formula>$J4="Sí"</formula>
    </cfRule>
    <cfRule type="expression" priority="3" aboveAverage="0" equalAverage="0" bottom="0" percent="0" rank="0" text="" dxfId="11">
      <formula>$J4="No"</formula>
    </cfRule>
    <cfRule type="expression" priority="4" aboveAverage="0" equalAverage="0" bottom="0" percent="0" rank="0" text="" dxfId="12">
      <formula>$J4="Pendiente"</formula>
    </cfRule>
  </conditionalFormatting>
  <conditionalFormatting sqref="A4:I36">
    <cfRule type="expression" priority="5" aboveAverage="0" equalAverage="0" bottom="0" percent="0" rank="0" text="" dxfId="13">
      <formula>$J4="No"</formula>
    </cfRule>
  </conditionalFormatting>
  <dataValidations count="3">
    <dataValidation allowBlank="true" error="Elige Sí, No o Pendiente" errorStyle="stop" operator="between" prompt="Sí / No / Pendiente" showDropDown="false" showErrorMessage="false" showInputMessage="false" sqref="J4:J36" type="list">
      <formula1>"Sí,No,Pendiente"</formula1>
      <formula2>0</formula2>
    </dataValidation>
    <dataValidation allowBlank="true" errorStyle="stop" operator="between" showDropDown="false" showErrorMessage="false" showInputMessage="false" sqref="F4:F36" type="list">
      <formula1>"Sin web encontrada,Solo perfil en plataforma,Tiene web – revisar si es antigua,Por comprobar,Web ya preparada"</formula1>
      <formula2>0</formula2>
    </dataValidation>
    <dataValidation allowBlank="true" errorStyle="stop" operator="greaterThan" showDropDown="false" showErrorMessage="false" showInputMessage="false" sqref="K4:K36" type="date">
      <formula1>DATE(2020,1,1)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3"/>
  </cols>
  <sheetData>
    <row r="1" customFormat="false" ht="17.35" hidden="false" customHeight="false" outlineLevel="0" collapsed="false">
      <c r="A1" s="15" t="s">
        <v>135</v>
      </c>
    </row>
    <row r="3" customFormat="false" ht="15" hidden="false" customHeight="false" outlineLevel="0" collapsed="false">
      <c r="A3" s="16" t="s">
        <v>7</v>
      </c>
      <c r="B3" s="16" t="s">
        <v>15</v>
      </c>
      <c r="C3" s="16" t="s">
        <v>58</v>
      </c>
      <c r="D3" s="16" t="s">
        <v>136</v>
      </c>
    </row>
    <row r="4" customFormat="false" ht="15" hidden="false" customHeight="false" outlineLevel="0" collapsed="false">
      <c r="A4" s="17" t="s">
        <v>26</v>
      </c>
      <c r="B4" s="18" t="n">
        <f aca="false">COUNTIFS(Listado!$F$4:$F$36,$A4,Listado!$C$4:$C$36,"Motril")</f>
        <v>9</v>
      </c>
      <c r="C4" s="18" t="n">
        <f aca="false">COUNTIFS(Listado!$F$4:$F$36,$A4,Listado!$C$4:$C$36,"Granada")</f>
        <v>2</v>
      </c>
      <c r="D4" s="18" t="n">
        <f aca="false">B4+C4</f>
        <v>11</v>
      </c>
    </row>
    <row r="5" customFormat="false" ht="15" hidden="false" customHeight="false" outlineLevel="0" collapsed="false">
      <c r="A5" s="17" t="s">
        <v>68</v>
      </c>
      <c r="B5" s="18" t="n">
        <f aca="false">COUNTIFS(Listado!$F$4:$F$36,$A5,Listado!$C$4:$C$36,"Motril")</f>
        <v>2</v>
      </c>
      <c r="C5" s="18" t="n">
        <f aca="false">COUNTIFS(Listado!$F$4:$F$36,$A5,Listado!$C$4:$C$36,"Granada")</f>
        <v>6</v>
      </c>
      <c r="D5" s="18" t="n">
        <f aca="false">B5+C5</f>
        <v>8</v>
      </c>
    </row>
    <row r="6" customFormat="false" ht="15" hidden="false" customHeight="false" outlineLevel="0" collapsed="false">
      <c r="A6" s="17" t="s">
        <v>100</v>
      </c>
      <c r="B6" s="18" t="n">
        <f aca="false">COUNTIFS(Listado!$F$4:$F$36,$A6,Listado!$C$4:$C$36,"Motril")</f>
        <v>0</v>
      </c>
      <c r="C6" s="18" t="n">
        <f aca="false">COUNTIFS(Listado!$F$4:$F$36,$A6,Listado!$C$4:$C$36,"Granada")</f>
        <v>1</v>
      </c>
      <c r="D6" s="18" t="n">
        <f aca="false">B6+C6</f>
        <v>1</v>
      </c>
    </row>
    <row r="7" customFormat="false" ht="15" hidden="false" customHeight="false" outlineLevel="0" collapsed="false">
      <c r="A7" s="17" t="s">
        <v>106</v>
      </c>
      <c r="B7" s="18" t="n">
        <f aca="false">COUNTIFS(Listado!$F$4:$F$36,$A7,Listado!$C$4:$C$36,"Motril")</f>
        <v>8</v>
      </c>
      <c r="C7" s="18" t="n">
        <f aca="false">COUNTIFS(Listado!$F$4:$F$36,$A7,Listado!$C$4:$C$36,"Granada")</f>
        <v>4</v>
      </c>
      <c r="D7" s="18" t="n">
        <f aca="false">B7+C7</f>
        <v>12</v>
      </c>
    </row>
    <row r="8" customFormat="false" ht="15" hidden="false" customHeight="false" outlineLevel="0" collapsed="false">
      <c r="A8" s="17" t="s">
        <v>18</v>
      </c>
      <c r="B8" s="18" t="n">
        <f aca="false">COUNTIFS(Listado!$F$4:$F$36,$A8,Listado!$C$4:$C$36,"Motril")</f>
        <v>1</v>
      </c>
      <c r="C8" s="18" t="n">
        <f aca="false">COUNTIFS(Listado!$F$4:$F$36,$A8,Listado!$C$4:$C$36,"Granada")</f>
        <v>0</v>
      </c>
      <c r="D8" s="18" t="n">
        <f aca="false">B8+C8</f>
        <v>1</v>
      </c>
    </row>
    <row r="9" customFormat="false" ht="15" hidden="false" customHeight="false" outlineLevel="0" collapsed="false">
      <c r="A9" s="17" t="s">
        <v>136</v>
      </c>
      <c r="B9" s="17" t="n">
        <f aca="false">SUM(B4:B8)</f>
        <v>20</v>
      </c>
      <c r="C9" s="17" t="n">
        <f aca="false">SUM(C4:C8)</f>
        <v>13</v>
      </c>
      <c r="D9" s="17" t="n">
        <f aca="false">SUM(D4:D8)</f>
        <v>33</v>
      </c>
    </row>
    <row r="11" customFormat="false" ht="15" hidden="false" customHeight="false" outlineLevel="0" collapsed="false">
      <c r="A11" s="16" t="s">
        <v>11</v>
      </c>
      <c r="B11" s="16" t="s">
        <v>137</v>
      </c>
      <c r="C11" s="16" t="s">
        <v>138</v>
      </c>
    </row>
    <row r="12" customFormat="false" ht="15" hidden="false" customHeight="false" outlineLevel="0" collapsed="false">
      <c r="A12" s="17" t="s">
        <v>139</v>
      </c>
      <c r="B12" s="18" t="n">
        <f aca="false">COUNTIF(Listado!$J$4:$J$36,$A12)</f>
        <v>0</v>
      </c>
      <c r="C12" s="19" t="n">
        <f aca="false">IF($D$9=0,0,B12/$D$9)</f>
        <v>0</v>
      </c>
    </row>
    <row r="13" customFormat="false" ht="15" hidden="false" customHeight="false" outlineLevel="0" collapsed="false">
      <c r="A13" s="17" t="s">
        <v>140</v>
      </c>
      <c r="B13" s="18" t="n">
        <f aca="false">COUNTIF(Listado!$J$4:$J$36,$A13)</f>
        <v>0</v>
      </c>
      <c r="C13" s="19" t="n">
        <f aca="false">IF($D$9=0,0,B13/$D$9)</f>
        <v>0</v>
      </c>
    </row>
    <row r="14" customFormat="false" ht="15" hidden="false" customHeight="false" outlineLevel="0" collapsed="false">
      <c r="A14" s="17" t="s">
        <v>22</v>
      </c>
      <c r="B14" s="18" t="n">
        <f aca="false">COUNTIF(Listado!$J$4:$J$36,$A14)</f>
        <v>33</v>
      </c>
      <c r="C14" s="19" t="n">
        <f aca="false">IF($D$9=0,0,B14/$D$9)</f>
        <v>1</v>
      </c>
    </row>
    <row r="16" customFormat="false" ht="15" hidden="false" customHeight="false" outlineLevel="0" collapsed="false">
      <c r="A16" s="17" t="s">
        <v>141</v>
      </c>
      <c r="B16" s="18" t="n">
        <f aca="false">COUNT(Listado!$K$4:$K$36)</f>
        <v>0</v>
      </c>
    </row>
    <row r="18" customFormat="false" ht="15" hidden="false" customHeight="false" outlineLevel="0" collapsed="false">
      <c r="A18" s="20" t="s">
        <v>142</v>
      </c>
    </row>
    <row r="19" customFormat="false" ht="15" hidden="false" customHeight="false" outlineLevel="0" collapsed="false">
      <c r="A19" s="21" t="s">
        <v>26</v>
      </c>
      <c r="B19" s="18" t="s">
        <v>143</v>
      </c>
    </row>
    <row r="20" customFormat="false" ht="15" hidden="false" customHeight="false" outlineLevel="0" collapsed="false">
      <c r="A20" s="22" t="s">
        <v>68</v>
      </c>
      <c r="B20" s="18" t="s">
        <v>144</v>
      </c>
    </row>
    <row r="21" customFormat="false" ht="15" hidden="false" customHeight="false" outlineLevel="0" collapsed="false">
      <c r="A21" s="23" t="s">
        <v>100</v>
      </c>
      <c r="B21" s="18" t="s">
        <v>145</v>
      </c>
    </row>
    <row r="22" customFormat="false" ht="15" hidden="false" customHeight="false" outlineLevel="0" collapsed="false">
      <c r="A22" s="24" t="s">
        <v>106</v>
      </c>
      <c r="B22" s="18" t="s">
        <v>146</v>
      </c>
    </row>
    <row r="23" customFormat="false" ht="15" hidden="false" customHeight="false" outlineLevel="0" collapsed="false">
      <c r="A23" s="25" t="s">
        <v>18</v>
      </c>
      <c r="B23" s="18" t="s">
        <v>147</v>
      </c>
    </row>
    <row r="25" customFormat="false" ht="15" hidden="false" customHeight="false" outlineLevel="0" collapsed="false">
      <c r="A25" s="26" t="s">
        <v>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2026-10-19T14:53:24Z</dcterms:created>
  <dc:creator>openpyxl</dc:creator>
  <dc:description/>
  <dc:language>en-US</dc:language>
  <cp:lastModifiedBy/>
  <dcterms:modified xsi:type="dcterms:W3CDTF">2026-10-19T14:53:24Z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